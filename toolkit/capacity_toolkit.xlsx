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nit prices" sheetId="1" state="visible" r:id="rId3"/>
    <sheet name="Envelope" sheetId="2" state="visible" r:id="rId4"/>
    <sheet name="Latency budget" sheetId="3" state="visible" r:id="rId5"/>
    <sheet name="Cost per thousand" sheetId="4" state="visible" r:id="rId6"/>
    <sheet name="Backlog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<sst xmlns="http://schemas.openxmlformats.org/spreadsheetml/2006/main" count="240" uniqueCount="173">
  <si>
    <t xml:space="preserve">The Tradeoff Method: capacity toolkit</t>
  </si>
  <si>
    <t xml:space="preserve">Unit prices and per-node capacities. Blue cells are inputs; edit them when cloud pricing moves (checked September 2026). Every other tab reads from here.</t>
  </si>
  <si>
    <t xml:space="preserve">Item</t>
  </si>
  <si>
    <t xml:space="preserve">Value</t>
  </si>
  <si>
    <t xml:space="preserve">Unit</t>
  </si>
  <si>
    <t xml:space="preserve">Source / note</t>
  </si>
  <si>
    <t xml:space="preserve">Seconds in a day (the book rounds 86,400 to 10^5)</t>
  </si>
  <si>
    <t xml:space="preserve">s</t>
  </si>
  <si>
    <t xml:space="preserve">Chapter 4, seven habits</t>
  </si>
  <si>
    <t xml:space="preserve">Object storage, standard</t>
  </si>
  <si>
    <t xml:space="preserve">$ per TB-month</t>
  </si>
  <si>
    <t xml:space="preserve">Appendix A.4; public list prices, Sept 2026</t>
  </si>
  <si>
    <t xml:space="preserve">Object storage, cold tier</t>
  </si>
  <si>
    <t xml:space="preserve">Appendix A.4</t>
  </si>
  <si>
    <t xml:space="preserve">Block storage attached to a node</t>
  </si>
  <si>
    <t xml:space="preserve">Memory in a managed cache</t>
  </si>
  <si>
    <t xml:space="preserve">$ per GB-month</t>
  </si>
  <si>
    <t xml:space="preserve">Virtual CPU</t>
  </si>
  <si>
    <t xml:space="preserve">$ per hour</t>
  </si>
  <si>
    <t xml:space="preserve">Small always-on server</t>
  </si>
  <si>
    <t xml:space="preserve">$ per month</t>
  </si>
  <si>
    <t xml:space="preserve">Managed database node, mid-sized</t>
  </si>
  <si>
    <t xml:space="preserve">Appendix A.4 (a few hundred)</t>
  </si>
  <si>
    <t xml:space="preserve">Managed database node, large</t>
  </si>
  <si>
    <t xml:space="preserve">Appendix A.4 (a few thousand)</t>
  </si>
  <si>
    <t xml:space="preserve">Egress to the internet, list</t>
  </si>
  <si>
    <t xml:space="preserve">$ per GB</t>
  </si>
  <si>
    <t xml:space="preserve">Appendix A.4; the book uses the low end</t>
  </si>
  <si>
    <t xml:space="preserve">Egress through a CDN, negotiated</t>
  </si>
  <si>
    <t xml:space="preserve">Traffic between regions</t>
  </si>
  <si>
    <t xml:space="preserve">Language model, input tokens</t>
  </si>
  <si>
    <t xml:space="preserve">$ per million</t>
  </si>
  <si>
    <t xml:space="preserve">Appendix A.4; varies widely</t>
  </si>
  <si>
    <t xml:space="preserve">Language model, output tokens</t>
  </si>
  <si>
    <t xml:space="preserve">Embedding model</t>
  </si>
  <si>
    <t xml:space="preserve">$ per million tokens</t>
  </si>
  <si>
    <t xml:space="preserve">Fully loaded engineer</t>
  </si>
  <si>
    <t xml:space="preserve">Appendix A.4; conventional planning figure</t>
  </si>
  <si>
    <t xml:space="preserve">Application server, simple requests</t>
  </si>
  <si>
    <t xml:space="preserve">per second per node</t>
  </si>
  <si>
    <t xml:space="preserve">Appendix A.2</t>
  </si>
  <si>
    <t xml:space="preserve">Relational node, point reads</t>
  </si>
  <si>
    <t xml:space="preserve">Relational node, random writes (B-tree)</t>
  </si>
  <si>
    <t xml:space="preserve">Wide-column / key-value node, appends (LSM)</t>
  </si>
  <si>
    <t xml:space="preserve">In-memory store, operations</t>
  </si>
  <si>
    <t xml:space="preserve">Usable disk of a database node</t>
  </si>
  <si>
    <t xml:space="preserve">TB per node</t>
  </si>
  <si>
    <t xml:space="preserve">Appendix A.3</t>
  </si>
  <si>
    <t xml:space="preserve">Round trip within a data centre</t>
  </si>
  <si>
    <t xml:space="preserve">ms</t>
  </si>
  <si>
    <t xml:space="preserve">Appendix A.1</t>
  </si>
  <si>
    <t xml:space="preserve">Round trip, same continent</t>
  </si>
  <si>
    <t xml:space="preserve">Round trip, across an ocean</t>
  </si>
  <si>
    <t xml:space="preserve">Envelope: rate, stored, moved, cost</t>
  </si>
  <si>
    <t xml:space="preserve">Fill the blue cells for your brief. The example values are the notification service of Chapters 3 and 4; replace them.</t>
  </si>
  <si>
    <t xml:space="preserve">Input</t>
  </si>
  <si>
    <t xml:space="preserve">Note</t>
  </si>
  <si>
    <t xml:space="preserve">Daily active users</t>
  </si>
  <si>
    <t xml:space="preserve">users</t>
  </si>
  <si>
    <t xml:space="preserve">Actions per user per day</t>
  </si>
  <si>
    <t xml:space="preserve">actions</t>
  </si>
  <si>
    <t xml:space="preserve">Peak multiple over average</t>
  </si>
  <si>
    <t xml:space="preserve">x</t>
  </si>
  <si>
    <t xml:space="preserve">Bytes per event stored</t>
  </si>
  <si>
    <t xml:space="preserve">bytes</t>
  </si>
  <si>
    <t xml:space="preserve">Retention</t>
  </si>
  <si>
    <t xml:space="preserve">days</t>
  </si>
  <si>
    <t xml:space="preserve">Replicas</t>
  </si>
  <si>
    <t xml:space="preserve">copies</t>
  </si>
  <si>
    <t xml:space="preserve">Bytes returned per request</t>
  </si>
  <si>
    <t xml:space="preserve">Burst: total events</t>
  </si>
  <si>
    <t xml:space="preserve">events</t>
  </si>
  <si>
    <t xml:space="preserve">Burst: window</t>
  </si>
  <si>
    <t xml:space="preserve">seconds</t>
  </si>
  <si>
    <t xml:space="preserve">Output</t>
  </si>
  <si>
    <t xml:space="preserve">Formula reads</t>
  </si>
  <si>
    <t xml:space="preserve">Average rate</t>
  </si>
  <si>
    <t xml:space="preserve">per second</t>
  </si>
  <si>
    <t xml:space="preserve">users x actions / 10^5</t>
  </si>
  <si>
    <t xml:space="preserve">Peak rate</t>
  </si>
  <si>
    <t xml:space="preserve">average x peak multiple</t>
  </si>
  <si>
    <t xml:space="preserve">Burst rate</t>
  </si>
  <si>
    <t xml:space="preserve">burst total / window</t>
  </si>
  <si>
    <t xml:space="preserve">Events per day</t>
  </si>
  <si>
    <t xml:space="preserve">Stored at end of retention</t>
  </si>
  <si>
    <t xml:space="preserve">TB</t>
  </si>
  <si>
    <t xml:space="preserve">events/day x bytes x days x replicas</t>
  </si>
  <si>
    <t xml:space="preserve">Storage cost, object</t>
  </si>
  <si>
    <t xml:space="preserve">TB x object price</t>
  </si>
  <si>
    <t xml:space="preserve">Storage cost, block</t>
  </si>
  <si>
    <t xml:space="preserve">TB x block price</t>
  </si>
  <si>
    <t xml:space="preserve">Nodes by disk</t>
  </si>
  <si>
    <t xml:space="preserve">nodes</t>
  </si>
  <si>
    <t xml:space="preserve">TB / usable disk per node</t>
  </si>
  <si>
    <t xml:space="preserve">Moved out, average</t>
  </si>
  <si>
    <t xml:space="preserve">bytes per second</t>
  </si>
  <si>
    <t xml:space="preserve">rate x bytes returned</t>
  </si>
  <si>
    <t xml:space="preserve">Moved out per day</t>
  </si>
  <si>
    <t xml:space="preserve">GB per day</t>
  </si>
  <si>
    <t xml:space="preserve">Egress per day, list</t>
  </si>
  <si>
    <t xml:space="preserve">$ per day</t>
  </si>
  <si>
    <t xml:space="preserve">Egress per day, CDN</t>
  </si>
  <si>
    <t xml:space="preserve">Relational nodes for peak writes</t>
  </si>
  <si>
    <t xml:space="preserve">peak / writes per node</t>
  </si>
  <si>
    <t xml:space="preserve">LSM nodes for peak appends</t>
  </si>
  <si>
    <t xml:space="preserve">In-memory nodes for peak ops</t>
  </si>
  <si>
    <t xml:space="preserve">Binds: compare each output to the per-node figures on the Unit prices tab; the line closest to or beyond one node's capacity is the one that sets the design (Chapter 4).</t>
  </si>
  <si>
    <t xml:space="preserve">Latency budget splitter and fan-out tail</t>
  </si>
  <si>
    <t xml:space="preserve">Enter the total budget and the hops in sequence. Headroom is what is left for the tail. The example is Chapter 4's 200 ms page.</t>
  </si>
  <si>
    <t xml:space="preserve">Total budget (ms)</t>
  </si>
  <si>
    <t xml:space="preserve">Hop (sequential)</t>
  </si>
  <si>
    <t xml:space="preserve">User's network to the edge</t>
  </si>
  <si>
    <t xml:space="preserve">outside your control; 20-50 ms</t>
  </si>
  <si>
    <t xml:space="preserve">Application server work</t>
  </si>
  <si>
    <t xml:space="preserve">Cache</t>
  </si>
  <si>
    <t xml:space="preserve">Database on a miss</t>
  </si>
  <si>
    <t xml:space="preserve">Downstream service</t>
  </si>
  <si>
    <t xml:space="preserve">the largest item; a second sequential call breaks the budget</t>
  </si>
  <si>
    <t xml:space="preserve">Allocated (ms)</t>
  </si>
  <si>
    <t xml:space="preserve">Headroom for the tail (ms)</t>
  </si>
  <si>
    <t xml:space="preserve">Largest hop (ms)</t>
  </si>
  <si>
    <t xml:space="preserve">A second sequential call to the largest hop breaks the budget?</t>
  </si>
  <si>
    <t xml:space="preserve">Fan-out tail</t>
  </si>
  <si>
    <t xml:space="preserve">Services called in parallel (n)</t>
  </si>
  <si>
    <t xml:space="preserve">Chance each is slow</t>
  </si>
  <si>
    <t xml:space="preserve">Chance the whole request is slow: 1-(1-p)^n</t>
  </si>
  <si>
    <t xml:space="preserve">Chain availability</t>
  </si>
  <si>
    <t xml:space="preserve">Components in a synchronous chain</t>
  </si>
  <si>
    <t xml:space="preserve">Availability of each</t>
  </si>
  <si>
    <t xml:space="preserve">Availability of the chain</t>
  </si>
  <si>
    <t xml:space="preserve">Cost per thousand requests, and the people line</t>
  </si>
  <si>
    <t xml:space="preserve">The example is Chapter 4's thumbnail service: 50 ms of CPU, a 20 KB image kept a year, served once.</t>
  </si>
  <si>
    <t xml:space="preserve">CPU per request</t>
  </si>
  <si>
    <t xml:space="preserve">Bytes stored per request</t>
  </si>
  <si>
    <t xml:space="preserve">months</t>
  </si>
  <si>
    <t xml:space="preserve">Served through a CDN? (1 yes, 0 no)</t>
  </si>
  <si>
    <t xml:space="preserve">flag</t>
  </si>
  <si>
    <t xml:space="preserve">Term</t>
  </si>
  <si>
    <t xml:space="preserve">$ per 1,000 requests</t>
  </si>
  <si>
    <t xml:space="preserve">Reads</t>
  </si>
  <si>
    <t xml:space="preserve">Compute</t>
  </si>
  <si>
    <t xml:space="preserve">CPU seconds x vCPU price</t>
  </si>
  <si>
    <t xml:space="preserve">Storage</t>
  </si>
  <si>
    <t xml:space="preserve">bytes x object price x months</t>
  </si>
  <si>
    <t xml:space="preserve">Egress</t>
  </si>
  <si>
    <t xml:space="preserve">bytes x egress price</t>
  </si>
  <si>
    <t xml:space="preserve">Total</t>
  </si>
  <si>
    <t xml:space="preserve">Dominant term</t>
  </si>
  <si>
    <t xml:space="preserve">People (Chapter 11)</t>
  </si>
  <si>
    <t xml:space="preserve">Engineer hours a year the component consumes</t>
  </si>
  <si>
    <t xml:space="preserve">Cost per year</t>
  </si>
  <si>
    <t xml:space="preserve">Cost per month</t>
  </si>
  <si>
    <t xml:space="preserve">Chapter 11's broker example: 150 hours a year is about $1,250 a month, against a $4,000 machine saving; the incidents are the missing term.</t>
  </si>
  <si>
    <t xml:space="preserve">Backlog and drain (Chapter 10)</t>
  </si>
  <si>
    <t xml:space="preserve">The example is the notification burst: 33,000/s arriving for 600 s against 14,000/s of provider capacity.</t>
  </si>
  <si>
    <t xml:space="preserve">Arrival rate during the burst</t>
  </si>
  <si>
    <t xml:space="preserve">Service rate</t>
  </si>
  <si>
    <t xml:space="preserve">Burst duration</t>
  </si>
  <si>
    <t xml:space="preserve">Arrival rate after the burst</t>
  </si>
  <si>
    <t xml:space="preserve">Bytes per queued item</t>
  </si>
  <si>
    <t xml:space="preserve">Little's law: arrival rate</t>
  </si>
  <si>
    <t xml:space="preserve">Little's law: time each item spends inside</t>
  </si>
  <si>
    <t xml:space="preserve">Peak queue depth</t>
  </si>
  <si>
    <t xml:space="preserve">items</t>
  </si>
  <si>
    <t xml:space="preserve">Queue storage at peak</t>
  </si>
  <si>
    <t xml:space="preserve">GB</t>
  </si>
  <si>
    <t xml:space="preserve">Drain time after the burst</t>
  </si>
  <si>
    <t xml:space="preserve">minutes</t>
  </si>
  <si>
    <t xml:space="preserve">Total time from burst start to empty</t>
  </si>
  <si>
    <t xml:space="preserve">Items in the system (Little's law)</t>
  </si>
  <si>
    <t xml:space="preserve">Workers needed at that service time</t>
  </si>
  <si>
    <t xml:space="preserve">workers</t>
  </si>
  <si>
    <t xml:space="preserve">A backlog drains at the margin of service over arrivals, not at the service rate: doubling capacity does not halve the drain (Chapter 10).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</si>
</sst>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#,##0.###"/>
    <numFmt numFmtId="166" formatCode="General"/>
    <numFmt numFmtId="167" formatCode="0.0%"/>
    <numFmt numFmtId="168" formatCode="0.000%"/>
    <numFmt numFmtId="169" formatCode="\$#,##0.0000"/>
    <numFmt numFmtId="170" formatCode="\$#,##0"/>
    <numFmt numFmtId="171" formatCode="#,##0.##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2D5C"/>
      <name val="Arial"/>
      <family val="0"/>
      <charset val="1"/>
    </font>
    <font>
      <i val="true"/>
      <sz val="10"/>
      <name val="Arial"/>
      <family val="0"/>
      <charset val="1"/>
    </font>
    <font>
      <b val="true"/>
      <sz val="11"/>
      <color rgb="FF002D5C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666666"/>
      <name val="Arial"/>
      <family val="0"/>
      <charset val="1"/>
    </font>
    <font>
      <i val="true"/>
      <sz val="9"/>
      <color rgb="FF666666"/>
      <name val="Arial"/>
      <family val="0"/>
      <charset val="1"/>
    </font>
    <font>
      <b val="true"/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2D5C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46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</row>
    <row r="5" customFormat="false" ht="15" hidden="false" customHeight="false" outlineLevel="0" collapsed="false">
      <c r="A5" s="4" t="s">
        <v>6</v>
      </c>
      <c r="B5" s="5" t="n">
        <v>100000</v>
      </c>
      <c r="C5" s="4" t="s">
        <v>7</v>
      </c>
      <c r="D5" s="6" t="s">
        <v>8</v>
      </c>
    </row>
    <row r="6" customFormat="false" ht="15" hidden="false" customHeight="false" outlineLevel="0" collapsed="false">
      <c r="A6" s="4" t="s">
        <v>9</v>
      </c>
      <c r="B6" s="5" t="n">
        <v>20</v>
      </c>
      <c r="C6" s="4" t="s">
        <v>10</v>
      </c>
      <c r="D6" s="6" t="s">
        <v>11</v>
      </c>
    </row>
    <row r="7" customFormat="false" ht="15" hidden="false" customHeight="false" outlineLevel="0" collapsed="false">
      <c r="A7" s="4" t="s">
        <v>12</v>
      </c>
      <c r="B7" s="5" t="n">
        <v>6</v>
      </c>
      <c r="C7" s="4" t="s">
        <v>10</v>
      </c>
      <c r="D7" s="6" t="s">
        <v>13</v>
      </c>
    </row>
    <row r="8" customFormat="false" ht="15" hidden="false" customHeight="false" outlineLevel="0" collapsed="false">
      <c r="A8" s="4" t="s">
        <v>14</v>
      </c>
      <c r="B8" s="5" t="n">
        <v>90</v>
      </c>
      <c r="C8" s="4" t="s">
        <v>10</v>
      </c>
      <c r="D8" s="6" t="s">
        <v>13</v>
      </c>
    </row>
    <row r="9" customFormat="false" ht="15" hidden="false" customHeight="false" outlineLevel="0" collapsed="false">
      <c r="A9" s="4" t="s">
        <v>15</v>
      </c>
      <c r="B9" s="5" t="n">
        <v>8</v>
      </c>
      <c r="C9" s="4" t="s">
        <v>16</v>
      </c>
      <c r="D9" s="6" t="s">
        <v>13</v>
      </c>
    </row>
    <row r="10" customFormat="false" ht="15" hidden="false" customHeight="false" outlineLevel="0" collapsed="false">
      <c r="A10" s="4" t="s">
        <v>17</v>
      </c>
      <c r="B10" s="5" t="n">
        <v>0.04</v>
      </c>
      <c r="C10" s="4" t="s">
        <v>18</v>
      </c>
      <c r="D10" s="6" t="s">
        <v>13</v>
      </c>
    </row>
    <row r="11" customFormat="false" ht="15" hidden="false" customHeight="false" outlineLevel="0" collapsed="false">
      <c r="A11" s="4" t="s">
        <v>19</v>
      </c>
      <c r="B11" s="5" t="n">
        <v>100</v>
      </c>
      <c r="C11" s="4" t="s">
        <v>20</v>
      </c>
      <c r="D11" s="6" t="s">
        <v>13</v>
      </c>
    </row>
    <row r="12" customFormat="false" ht="15" hidden="false" customHeight="false" outlineLevel="0" collapsed="false">
      <c r="A12" s="4" t="s">
        <v>21</v>
      </c>
      <c r="B12" s="5" t="n">
        <v>500</v>
      </c>
      <c r="C12" s="4" t="s">
        <v>20</v>
      </c>
      <c r="D12" s="6" t="s">
        <v>22</v>
      </c>
    </row>
    <row r="13" customFormat="false" ht="15" hidden="false" customHeight="false" outlineLevel="0" collapsed="false">
      <c r="A13" s="4" t="s">
        <v>23</v>
      </c>
      <c r="B13" s="5" t="n">
        <v>3000</v>
      </c>
      <c r="C13" s="4" t="s">
        <v>20</v>
      </c>
      <c r="D13" s="6" t="s">
        <v>24</v>
      </c>
    </row>
    <row r="14" customFormat="false" ht="15" hidden="false" customHeight="false" outlineLevel="0" collapsed="false">
      <c r="A14" s="4" t="s">
        <v>25</v>
      </c>
      <c r="B14" s="5" t="n">
        <v>0.05</v>
      </c>
      <c r="C14" s="4" t="s">
        <v>26</v>
      </c>
      <c r="D14" s="6" t="s">
        <v>27</v>
      </c>
    </row>
    <row r="15" customFormat="false" ht="15" hidden="false" customHeight="false" outlineLevel="0" collapsed="false">
      <c r="A15" s="4" t="s">
        <v>28</v>
      </c>
      <c r="B15" s="5" t="n">
        <v>0.02</v>
      </c>
      <c r="C15" s="4" t="s">
        <v>26</v>
      </c>
      <c r="D15" s="6" t="s">
        <v>13</v>
      </c>
    </row>
    <row r="16" customFormat="false" ht="15" hidden="false" customHeight="false" outlineLevel="0" collapsed="false">
      <c r="A16" s="4" t="s">
        <v>29</v>
      </c>
      <c r="B16" s="5" t="n">
        <v>0.015</v>
      </c>
      <c r="C16" s="4" t="s">
        <v>26</v>
      </c>
      <c r="D16" s="6" t="s">
        <v>13</v>
      </c>
    </row>
    <row r="17" customFormat="false" ht="15" hidden="false" customHeight="false" outlineLevel="0" collapsed="false">
      <c r="A17" s="4" t="s">
        <v>30</v>
      </c>
      <c r="B17" s="5" t="n">
        <v>3</v>
      </c>
      <c r="C17" s="4" t="s">
        <v>31</v>
      </c>
      <c r="D17" s="6" t="s">
        <v>32</v>
      </c>
    </row>
    <row r="18" customFormat="false" ht="15" hidden="false" customHeight="false" outlineLevel="0" collapsed="false">
      <c r="A18" s="4" t="s">
        <v>33</v>
      </c>
      <c r="B18" s="5" t="n">
        <v>15</v>
      </c>
      <c r="C18" s="4" t="s">
        <v>31</v>
      </c>
      <c r="D18" s="6" t="s">
        <v>13</v>
      </c>
    </row>
    <row r="19" customFormat="false" ht="15" hidden="false" customHeight="false" outlineLevel="0" collapsed="false">
      <c r="A19" s="4" t="s">
        <v>34</v>
      </c>
      <c r="B19" s="5" t="n">
        <v>0.1</v>
      </c>
      <c r="C19" s="4" t="s">
        <v>35</v>
      </c>
      <c r="D19" s="6" t="s">
        <v>13</v>
      </c>
    </row>
    <row r="20" customFormat="false" ht="15" hidden="false" customHeight="false" outlineLevel="0" collapsed="false">
      <c r="A20" s="4" t="s">
        <v>36</v>
      </c>
      <c r="B20" s="5" t="n">
        <v>100</v>
      </c>
      <c r="C20" s="4" t="s">
        <v>18</v>
      </c>
      <c r="D20" s="6" t="s">
        <v>37</v>
      </c>
    </row>
    <row r="21" customFormat="false" ht="15" hidden="false" customHeight="false" outlineLevel="0" collapsed="false">
      <c r="A21" s="4" t="s">
        <v>38</v>
      </c>
      <c r="B21" s="5" t="n">
        <v>30000</v>
      </c>
      <c r="C21" s="4" t="s">
        <v>39</v>
      </c>
      <c r="D21" s="6" t="s">
        <v>40</v>
      </c>
    </row>
    <row r="22" customFormat="false" ht="15" hidden="false" customHeight="false" outlineLevel="0" collapsed="false">
      <c r="A22" s="4" t="s">
        <v>41</v>
      </c>
      <c r="B22" s="5" t="n">
        <v>12000</v>
      </c>
      <c r="C22" s="4" t="s">
        <v>39</v>
      </c>
      <c r="D22" s="6" t="s">
        <v>40</v>
      </c>
    </row>
    <row r="23" customFormat="false" ht="15" hidden="false" customHeight="false" outlineLevel="0" collapsed="false">
      <c r="A23" s="4" t="s">
        <v>42</v>
      </c>
      <c r="B23" s="5" t="n">
        <v>20000</v>
      </c>
      <c r="C23" s="4" t="s">
        <v>39</v>
      </c>
      <c r="D23" s="6" t="s">
        <v>40</v>
      </c>
    </row>
    <row r="24" customFormat="false" ht="15" hidden="false" customHeight="false" outlineLevel="0" collapsed="false">
      <c r="A24" s="4" t="s">
        <v>43</v>
      </c>
      <c r="B24" s="5" t="n">
        <v>100000</v>
      </c>
      <c r="C24" s="4" t="s">
        <v>39</v>
      </c>
      <c r="D24" s="6" t="s">
        <v>40</v>
      </c>
    </row>
    <row r="25" customFormat="false" ht="15" hidden="false" customHeight="false" outlineLevel="0" collapsed="false">
      <c r="A25" s="4" t="s">
        <v>44</v>
      </c>
      <c r="B25" s="5" t="n">
        <v>300000</v>
      </c>
      <c r="C25" s="4" t="s">
        <v>39</v>
      </c>
      <c r="D25" s="6" t="s">
        <v>40</v>
      </c>
    </row>
    <row r="26" customFormat="false" ht="15" hidden="false" customHeight="false" outlineLevel="0" collapsed="false">
      <c r="A26" s="4" t="s">
        <v>45</v>
      </c>
      <c r="B26" s="5" t="n">
        <v>4</v>
      </c>
      <c r="C26" s="4" t="s">
        <v>46</v>
      </c>
      <c r="D26" s="6" t="s">
        <v>47</v>
      </c>
    </row>
    <row r="27" customFormat="false" ht="15" hidden="false" customHeight="false" outlineLevel="0" collapsed="false">
      <c r="A27" s="4" t="s">
        <v>48</v>
      </c>
      <c r="B27" s="5" t="n">
        <v>0.8</v>
      </c>
      <c r="C27" s="4" t="s">
        <v>49</v>
      </c>
      <c r="D27" s="6" t="s">
        <v>50</v>
      </c>
    </row>
    <row r="28" customFormat="false" ht="15" hidden="false" customHeight="false" outlineLevel="0" collapsed="false">
      <c r="A28" s="4" t="s">
        <v>51</v>
      </c>
      <c r="B28" s="5" t="n">
        <v>35</v>
      </c>
      <c r="C28" s="4" t="s">
        <v>49</v>
      </c>
      <c r="D28" s="6" t="s">
        <v>50</v>
      </c>
    </row>
    <row r="29" customFormat="false" ht="15" hidden="false" customHeight="false" outlineLevel="0" collapsed="false">
      <c r="A29" s="4" t="s">
        <v>52</v>
      </c>
      <c r="B29" s="5" t="n">
        <v>120</v>
      </c>
      <c r="C29" s="4" t="s">
        <v>49</v>
      </c>
      <c r="D29" s="6" t="s">
        <v>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3" min="2" style="0" width="18"/>
    <col collapsed="false" customWidth="true" hidden="false" outlineLevel="0" max="4" min="4" style="0" width="40"/>
  </cols>
  <sheetData>
    <row r="1" customFormat="false" ht="15" hidden="false" customHeight="false" outlineLevel="0" collapsed="false">
      <c r="A1" s="7" t="s">
        <v>53</v>
      </c>
    </row>
    <row r="2" customFormat="false" ht="15" hidden="false" customHeight="false" outlineLevel="0" collapsed="false">
      <c r="A2" s="2" t="s">
        <v>54</v>
      </c>
    </row>
    <row r="4" customFormat="false" ht="15" hidden="false" customHeight="false" outlineLevel="0" collapsed="false">
      <c r="A4" s="3" t="s">
        <v>55</v>
      </c>
      <c r="B4" s="3" t="s">
        <v>3</v>
      </c>
      <c r="C4" s="3" t="s">
        <v>4</v>
      </c>
      <c r="D4" s="3" t="s">
        <v>56</v>
      </c>
    </row>
    <row r="5" customFormat="false" ht="15" hidden="false" customHeight="false" outlineLevel="0" collapsed="false">
      <c r="A5" s="4" t="s">
        <v>57</v>
      </c>
      <c r="B5" s="5" t="n">
        <v>20000000</v>
      </c>
      <c r="C5" s="4" t="s">
        <v>58</v>
      </c>
    </row>
    <row r="6" customFormat="false" ht="15" hidden="false" customHeight="false" outlineLevel="0" collapsed="false">
      <c r="A6" s="4" t="s">
        <v>59</v>
      </c>
      <c r="B6" s="5" t="n">
        <v>5</v>
      </c>
      <c r="C6" s="4" t="s">
        <v>60</v>
      </c>
    </row>
    <row r="7" customFormat="false" ht="15" hidden="false" customHeight="false" outlineLevel="0" collapsed="false">
      <c r="A7" s="4" t="s">
        <v>61</v>
      </c>
      <c r="B7" s="5" t="n">
        <v>5</v>
      </c>
      <c r="C7" s="4" t="s">
        <v>62</v>
      </c>
    </row>
    <row r="8" customFormat="false" ht="15" hidden="false" customHeight="false" outlineLevel="0" collapsed="false">
      <c r="A8" s="4" t="s">
        <v>63</v>
      </c>
      <c r="B8" s="5" t="n">
        <v>200</v>
      </c>
      <c r="C8" s="4" t="s">
        <v>64</v>
      </c>
    </row>
    <row r="9" customFormat="false" ht="15" hidden="false" customHeight="false" outlineLevel="0" collapsed="false">
      <c r="A9" s="4" t="s">
        <v>65</v>
      </c>
      <c r="B9" s="5" t="n">
        <v>30</v>
      </c>
      <c r="C9" s="4" t="s">
        <v>66</v>
      </c>
    </row>
    <row r="10" customFormat="false" ht="15" hidden="false" customHeight="false" outlineLevel="0" collapsed="false">
      <c r="A10" s="4" t="s">
        <v>67</v>
      </c>
      <c r="B10" s="5" t="n">
        <v>1</v>
      </c>
      <c r="C10" s="4" t="s">
        <v>68</v>
      </c>
    </row>
    <row r="11" customFormat="false" ht="15" hidden="false" customHeight="false" outlineLevel="0" collapsed="false">
      <c r="A11" s="4" t="s">
        <v>69</v>
      </c>
      <c r="B11" s="5" t="n">
        <v>1000</v>
      </c>
      <c r="C11" s="4" t="s">
        <v>64</v>
      </c>
    </row>
    <row r="12" customFormat="false" ht="15" hidden="false" customHeight="false" outlineLevel="0" collapsed="false">
      <c r="A12" s="4" t="s">
        <v>70</v>
      </c>
      <c r="B12" s="5" t="n">
        <v>20000000</v>
      </c>
      <c r="C12" s="4" t="s">
        <v>71</v>
      </c>
    </row>
    <row r="13" customFormat="false" ht="15" hidden="false" customHeight="false" outlineLevel="0" collapsed="false">
      <c r="A13" s="4" t="s">
        <v>72</v>
      </c>
      <c r="B13" s="5" t="n">
        <v>600</v>
      </c>
      <c r="C13" s="4" t="s">
        <v>73</v>
      </c>
    </row>
    <row r="15" customFormat="false" ht="15" hidden="false" customHeight="false" outlineLevel="0" collapsed="false">
      <c r="A15" s="3" t="s">
        <v>74</v>
      </c>
      <c r="B15" s="3" t="s">
        <v>3</v>
      </c>
      <c r="C15" s="3" t="s">
        <v>4</v>
      </c>
      <c r="D15" s="3" t="s">
        <v>75</v>
      </c>
    </row>
    <row r="16" customFormat="false" ht="15" hidden="false" customHeight="false" outlineLevel="0" collapsed="false">
      <c r="A16" s="4" t="s">
        <v>76</v>
      </c>
      <c r="B16" s="8" t="n">
        <f aca="false">B5*B6/'Unit prices'!$B$5</f>
        <v>1000</v>
      </c>
      <c r="C16" s="4" t="s">
        <v>77</v>
      </c>
      <c r="D16" s="6" t="s">
        <v>78</v>
      </c>
    </row>
    <row r="17" customFormat="false" ht="15" hidden="false" customHeight="false" outlineLevel="0" collapsed="false">
      <c r="A17" s="4" t="s">
        <v>79</v>
      </c>
      <c r="B17" s="8" t="n">
        <f aca="false">B16*B7</f>
        <v>5000</v>
      </c>
      <c r="C17" s="4" t="s">
        <v>77</v>
      </c>
      <c r="D17" s="6" t="s">
        <v>80</v>
      </c>
    </row>
    <row r="18" customFormat="false" ht="15" hidden="false" customHeight="false" outlineLevel="0" collapsed="false">
      <c r="A18" s="4" t="s">
        <v>81</v>
      </c>
      <c r="B18" s="8" t="n">
        <f aca="false">B12/B13</f>
        <v>33333.3333333333</v>
      </c>
      <c r="C18" s="4" t="s">
        <v>77</v>
      </c>
      <c r="D18" s="6" t="s">
        <v>82</v>
      </c>
    </row>
    <row r="19" customFormat="false" ht="15" hidden="false" customHeight="false" outlineLevel="0" collapsed="false">
      <c r="A19" s="4" t="s">
        <v>83</v>
      </c>
      <c r="B19" s="8" t="n">
        <f aca="false">B5*B6</f>
        <v>100000000</v>
      </c>
      <c r="C19" s="4" t="s">
        <v>71</v>
      </c>
      <c r="D19" s="6"/>
    </row>
    <row r="20" customFormat="false" ht="15" hidden="false" customHeight="false" outlineLevel="0" collapsed="false">
      <c r="A20" s="4" t="s">
        <v>84</v>
      </c>
      <c r="B20" s="8" t="n">
        <f aca="false">B19*B8*B9*B10/1000000000000</f>
        <v>0.6</v>
      </c>
      <c r="C20" s="4" t="s">
        <v>85</v>
      </c>
      <c r="D20" s="6" t="s">
        <v>86</v>
      </c>
    </row>
    <row r="21" customFormat="false" ht="15" hidden="false" customHeight="false" outlineLevel="0" collapsed="false">
      <c r="A21" s="4" t="s">
        <v>87</v>
      </c>
      <c r="B21" s="8" t="n">
        <f aca="false">B20*'Unit prices'!$B$6</f>
        <v>12</v>
      </c>
      <c r="C21" s="4" t="s">
        <v>20</v>
      </c>
      <c r="D21" s="6" t="s">
        <v>88</v>
      </c>
    </row>
    <row r="22" customFormat="false" ht="15" hidden="false" customHeight="false" outlineLevel="0" collapsed="false">
      <c r="A22" s="4" t="s">
        <v>89</v>
      </c>
      <c r="B22" s="8" t="n">
        <f aca="false">B20*'Unit prices'!$B$8</f>
        <v>54</v>
      </c>
      <c r="C22" s="4" t="s">
        <v>20</v>
      </c>
      <c r="D22" s="6" t="s">
        <v>90</v>
      </c>
    </row>
    <row r="23" customFormat="false" ht="15" hidden="false" customHeight="false" outlineLevel="0" collapsed="false">
      <c r="A23" s="4" t="s">
        <v>91</v>
      </c>
      <c r="B23" s="8" t="n">
        <f aca="false">CEILING(B20/'Unit prices'!$B$26,1)</f>
        <v>1</v>
      </c>
      <c r="C23" s="4" t="s">
        <v>92</v>
      </c>
      <c r="D23" s="6" t="s">
        <v>93</v>
      </c>
    </row>
    <row r="24" customFormat="false" ht="15" hidden="false" customHeight="false" outlineLevel="0" collapsed="false">
      <c r="A24" s="4" t="s">
        <v>94</v>
      </c>
      <c r="B24" s="8" t="n">
        <f aca="false">B16*B11</f>
        <v>1000000</v>
      </c>
      <c r="C24" s="4" t="s">
        <v>95</v>
      </c>
      <c r="D24" s="6" t="s">
        <v>96</v>
      </c>
    </row>
    <row r="25" customFormat="false" ht="15" hidden="false" customHeight="false" outlineLevel="0" collapsed="false">
      <c r="A25" s="4" t="s">
        <v>97</v>
      </c>
      <c r="B25" s="8" t="n">
        <f aca="false">B24*'Unit prices'!$B$5/1000000000</f>
        <v>100</v>
      </c>
      <c r="C25" s="4" t="s">
        <v>98</v>
      </c>
      <c r="D25" s="6"/>
    </row>
    <row r="26" customFormat="false" ht="15" hidden="false" customHeight="false" outlineLevel="0" collapsed="false">
      <c r="A26" s="4" t="s">
        <v>99</v>
      </c>
      <c r="B26" s="8" t="n">
        <f aca="false">B25*'Unit prices'!$B$14</f>
        <v>5</v>
      </c>
      <c r="C26" s="4" t="s">
        <v>100</v>
      </c>
      <c r="D26" s="6"/>
    </row>
    <row r="27" customFormat="false" ht="15" hidden="false" customHeight="false" outlineLevel="0" collapsed="false">
      <c r="A27" s="4" t="s">
        <v>101</v>
      </c>
      <c r="B27" s="8" t="n">
        <f aca="false">B25*'Unit prices'!$B$15</f>
        <v>2</v>
      </c>
      <c r="C27" s="4" t="s">
        <v>100</v>
      </c>
      <c r="D27" s="6"/>
    </row>
    <row r="28" customFormat="false" ht="15" hidden="false" customHeight="false" outlineLevel="0" collapsed="false">
      <c r="A28" s="4" t="s">
        <v>102</v>
      </c>
      <c r="B28" s="8" t="n">
        <f aca="false">CEILING(B17/'Unit prices'!$B$23,1)</f>
        <v>1</v>
      </c>
      <c r="C28" s="4" t="s">
        <v>92</v>
      </c>
      <c r="D28" s="6" t="s">
        <v>103</v>
      </c>
    </row>
    <row r="29" customFormat="false" ht="15" hidden="false" customHeight="false" outlineLevel="0" collapsed="false">
      <c r="A29" s="4" t="s">
        <v>104</v>
      </c>
      <c r="B29" s="8" t="n">
        <f aca="false">CEILING(B17/'Unit prices'!$B$24,1)</f>
        <v>1</v>
      </c>
      <c r="C29" s="4" t="s">
        <v>92</v>
      </c>
      <c r="D29" s="6"/>
    </row>
    <row r="30" customFormat="false" ht="15" hidden="false" customHeight="false" outlineLevel="0" collapsed="false">
      <c r="A30" s="4" t="s">
        <v>105</v>
      </c>
      <c r="B30" s="8" t="n">
        <f aca="false">CEILING(B17/'Unit prices'!$B$25,1)</f>
        <v>1</v>
      </c>
      <c r="C30" s="4" t="s">
        <v>92</v>
      </c>
      <c r="D30" s="6"/>
    </row>
    <row r="32" customFormat="false" ht="43.25" hidden="false" customHeight="false" outlineLevel="0" collapsed="false">
      <c r="A32" s="9" t="s">
        <v>106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2"/>
    <col collapsed="false" customWidth="true" hidden="false" outlineLevel="0" max="3" min="3" style="0" width="48"/>
  </cols>
  <sheetData>
    <row r="1" customFormat="false" ht="15" hidden="false" customHeight="false" outlineLevel="0" collapsed="false">
      <c r="A1" s="7" t="s">
        <v>107</v>
      </c>
    </row>
    <row r="2" customFormat="false" ht="15" hidden="false" customHeight="false" outlineLevel="0" collapsed="false">
      <c r="A2" s="2" t="s">
        <v>108</v>
      </c>
    </row>
    <row r="4" customFormat="false" ht="15" hidden="false" customHeight="false" outlineLevel="0" collapsed="false">
      <c r="A4" s="4" t="s">
        <v>109</v>
      </c>
      <c r="B4" s="5" t="n">
        <v>200</v>
      </c>
    </row>
    <row r="6" customFormat="false" ht="15" hidden="false" customHeight="false" outlineLevel="0" collapsed="false">
      <c r="A6" s="3" t="s">
        <v>110</v>
      </c>
      <c r="B6" s="3" t="s">
        <v>49</v>
      </c>
      <c r="C6" s="3" t="s">
        <v>56</v>
      </c>
    </row>
    <row r="7" customFormat="false" ht="15" hidden="false" customHeight="false" outlineLevel="0" collapsed="false">
      <c r="A7" s="5" t="s">
        <v>111</v>
      </c>
      <c r="B7" s="5" t="n">
        <v>35</v>
      </c>
      <c r="C7" s="6" t="s">
        <v>112</v>
      </c>
    </row>
    <row r="8" customFormat="false" ht="15" hidden="false" customHeight="false" outlineLevel="0" collapsed="false">
      <c r="A8" s="5" t="s">
        <v>113</v>
      </c>
      <c r="B8" s="5" t="n">
        <v>10</v>
      </c>
      <c r="C8" s="6"/>
    </row>
    <row r="9" customFormat="false" ht="15" hidden="false" customHeight="false" outlineLevel="0" collapsed="false">
      <c r="A9" s="5" t="s">
        <v>114</v>
      </c>
      <c r="B9" s="5" t="n">
        <v>1</v>
      </c>
      <c r="C9" s="6"/>
    </row>
    <row r="10" customFormat="false" ht="15" hidden="false" customHeight="false" outlineLevel="0" collapsed="false">
      <c r="A10" s="5" t="s">
        <v>115</v>
      </c>
      <c r="B10" s="5" t="n">
        <v>10</v>
      </c>
      <c r="C10" s="6"/>
    </row>
    <row r="11" customFormat="false" ht="15" hidden="false" customHeight="false" outlineLevel="0" collapsed="false">
      <c r="A11" s="5" t="s">
        <v>116</v>
      </c>
      <c r="B11" s="5" t="n">
        <v>50</v>
      </c>
      <c r="C11" s="6" t="s">
        <v>117</v>
      </c>
    </row>
    <row r="12" customFormat="false" ht="15" hidden="false" customHeight="false" outlineLevel="0" collapsed="false">
      <c r="A12" s="5"/>
      <c r="B12" s="5" t="n">
        <v>0</v>
      </c>
      <c r="C12" s="6"/>
    </row>
    <row r="13" customFormat="false" ht="15" hidden="false" customHeight="false" outlineLevel="0" collapsed="false">
      <c r="A13" s="5"/>
      <c r="B13" s="5" t="n">
        <v>0</v>
      </c>
      <c r="C13" s="6"/>
    </row>
    <row r="15" customFormat="false" ht="15" hidden="false" customHeight="false" outlineLevel="0" collapsed="false">
      <c r="A15" s="10" t="s">
        <v>118</v>
      </c>
      <c r="B15" s="11" t="n">
        <f aca="false">SUM(B7:B13)</f>
        <v>106</v>
      </c>
    </row>
    <row r="16" customFormat="false" ht="15" hidden="false" customHeight="false" outlineLevel="0" collapsed="false">
      <c r="A16" s="10" t="s">
        <v>119</v>
      </c>
      <c r="B16" s="11" t="n">
        <f aca="false">B4-B15</f>
        <v>94</v>
      </c>
    </row>
    <row r="17" customFormat="false" ht="15" hidden="false" customHeight="false" outlineLevel="0" collapsed="false">
      <c r="A17" s="10" t="s">
        <v>120</v>
      </c>
      <c r="B17" s="11" t="n">
        <f aca="false">MAX(B7:B13)</f>
        <v>50</v>
      </c>
    </row>
    <row r="18" customFormat="false" ht="15" hidden="false" customHeight="false" outlineLevel="0" collapsed="false">
      <c r="A18" s="10" t="s">
        <v>121</v>
      </c>
      <c r="B18" s="0" t="str">
        <f aca="false">IF(B15+B17&gt;B4,"yes: make it parallel","no")</f>
        <v>no</v>
      </c>
    </row>
    <row r="21" customFormat="false" ht="15" hidden="false" customHeight="false" outlineLevel="0" collapsed="false">
      <c r="A21" s="7" t="s">
        <v>122</v>
      </c>
    </row>
    <row r="22" customFormat="false" ht="15" hidden="false" customHeight="false" outlineLevel="0" collapsed="false">
      <c r="A22" s="4" t="s">
        <v>123</v>
      </c>
      <c r="B22" s="5" t="n">
        <v>10</v>
      </c>
    </row>
    <row r="23" customFormat="false" ht="15" hidden="false" customHeight="false" outlineLevel="0" collapsed="false">
      <c r="A23" s="4" t="s">
        <v>124</v>
      </c>
      <c r="B23" s="12" t="n">
        <v>0.01</v>
      </c>
    </row>
    <row r="24" customFormat="false" ht="15" hidden="false" customHeight="false" outlineLevel="0" collapsed="false">
      <c r="A24" s="10" t="s">
        <v>125</v>
      </c>
      <c r="B24" s="13" t="n">
        <f aca="false">1-(1-B23)^B22</f>
        <v>0.0956179249911956</v>
      </c>
    </row>
    <row r="26" customFormat="false" ht="15" hidden="false" customHeight="false" outlineLevel="0" collapsed="false">
      <c r="A26" s="7" t="s">
        <v>126</v>
      </c>
    </row>
    <row r="27" customFormat="false" ht="15" hidden="false" customHeight="false" outlineLevel="0" collapsed="false">
      <c r="A27" s="4" t="s">
        <v>127</v>
      </c>
      <c r="B27" s="5" t="n">
        <v>5</v>
      </c>
    </row>
    <row r="28" customFormat="false" ht="15" hidden="false" customHeight="false" outlineLevel="0" collapsed="false">
      <c r="A28" s="4" t="s">
        <v>128</v>
      </c>
      <c r="B28" s="14" t="n">
        <v>0.999</v>
      </c>
    </row>
    <row r="29" customFormat="false" ht="15" hidden="false" customHeight="false" outlineLevel="0" collapsed="false">
      <c r="A29" s="10" t="s">
        <v>129</v>
      </c>
      <c r="B29" s="15" t="n">
        <f aca="false">B28^B27</f>
        <v>0.995009990004999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2"/>
    <col collapsed="false" customWidth="true" hidden="false" outlineLevel="0" max="3" min="3" style="0" width="36"/>
  </cols>
  <sheetData>
    <row r="1" customFormat="false" ht="15" hidden="false" customHeight="false" outlineLevel="0" collapsed="false">
      <c r="A1" s="7" t="s">
        <v>130</v>
      </c>
    </row>
    <row r="2" customFormat="false" ht="15" hidden="false" customHeight="false" outlineLevel="0" collapsed="false">
      <c r="A2" s="2" t="s">
        <v>131</v>
      </c>
    </row>
    <row r="4" customFormat="false" ht="15" hidden="false" customHeight="false" outlineLevel="0" collapsed="false">
      <c r="A4" s="3" t="s">
        <v>55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132</v>
      </c>
      <c r="B5" s="5" t="n">
        <v>50</v>
      </c>
      <c r="C5" s="4" t="s">
        <v>49</v>
      </c>
    </row>
    <row r="6" customFormat="false" ht="15" hidden="false" customHeight="false" outlineLevel="0" collapsed="false">
      <c r="A6" s="4" t="s">
        <v>133</v>
      </c>
      <c r="B6" s="5" t="n">
        <v>20000</v>
      </c>
      <c r="C6" s="4" t="s">
        <v>64</v>
      </c>
    </row>
    <row r="7" customFormat="false" ht="15" hidden="false" customHeight="false" outlineLevel="0" collapsed="false">
      <c r="A7" s="4" t="s">
        <v>65</v>
      </c>
      <c r="B7" s="5" t="n">
        <v>12</v>
      </c>
      <c r="C7" s="4" t="s">
        <v>134</v>
      </c>
    </row>
    <row r="8" customFormat="false" ht="15" hidden="false" customHeight="false" outlineLevel="0" collapsed="false">
      <c r="A8" s="4" t="s">
        <v>69</v>
      </c>
      <c r="B8" s="5" t="n">
        <v>20000</v>
      </c>
      <c r="C8" s="4" t="s">
        <v>64</v>
      </c>
    </row>
    <row r="9" customFormat="false" ht="15" hidden="false" customHeight="false" outlineLevel="0" collapsed="false">
      <c r="A9" s="4" t="s">
        <v>135</v>
      </c>
      <c r="B9" s="5" t="n">
        <v>0</v>
      </c>
      <c r="C9" s="4" t="s">
        <v>136</v>
      </c>
    </row>
    <row r="11" customFormat="false" ht="15" hidden="false" customHeight="false" outlineLevel="0" collapsed="false">
      <c r="A11" s="3" t="s">
        <v>137</v>
      </c>
      <c r="B11" s="3" t="s">
        <v>138</v>
      </c>
      <c r="C11" s="3" t="s">
        <v>139</v>
      </c>
    </row>
    <row r="12" customFormat="false" ht="15" hidden="false" customHeight="false" outlineLevel="0" collapsed="false">
      <c r="A12" s="4" t="s">
        <v>140</v>
      </c>
      <c r="B12" s="16" t="n">
        <f aca="false">B5/1000/3600*'Unit prices'!$B$10*1000</f>
        <v>0.000555555555555556</v>
      </c>
      <c r="C12" s="6" t="s">
        <v>141</v>
      </c>
    </row>
    <row r="13" customFormat="false" ht="15" hidden="false" customHeight="false" outlineLevel="0" collapsed="false">
      <c r="A13" s="4" t="s">
        <v>142</v>
      </c>
      <c r="B13" s="16" t="n">
        <f aca="false">B6/1000000000000*'Unit prices'!$B$6*B7*1000</f>
        <v>0.0048</v>
      </c>
      <c r="C13" s="6" t="s">
        <v>143</v>
      </c>
    </row>
    <row r="14" customFormat="false" ht="15" hidden="false" customHeight="false" outlineLevel="0" collapsed="false">
      <c r="A14" s="4" t="s">
        <v>144</v>
      </c>
      <c r="B14" s="16" t="n">
        <f aca="false">B8/1000000000*IF(B9=1,'Unit prices'!$B$15,'Unit prices'!$B$14)*1000</f>
        <v>0.001</v>
      </c>
      <c r="C14" s="6" t="s">
        <v>145</v>
      </c>
    </row>
    <row r="15" customFormat="false" ht="15" hidden="false" customHeight="false" outlineLevel="0" collapsed="false">
      <c r="A15" s="10" t="s">
        <v>146</v>
      </c>
      <c r="B15" s="16" t="n">
        <f aca="false">SUM(B12:B14)</f>
        <v>0.00635555555555556</v>
      </c>
    </row>
    <row r="16" customFormat="false" ht="15" hidden="false" customHeight="false" outlineLevel="0" collapsed="false">
      <c r="A16" s="10" t="s">
        <v>147</v>
      </c>
      <c r="B16" s="0" t="str">
        <f aca="false">INDEX(A12:A14,MATCH(MAX(B12:B14),B12:B14,0))</f>
        <v>Storage</v>
      </c>
    </row>
    <row r="19" customFormat="false" ht="15" hidden="false" customHeight="false" outlineLevel="0" collapsed="false">
      <c r="A19" s="7" t="s">
        <v>148</v>
      </c>
    </row>
    <row r="20" customFormat="false" ht="15" hidden="false" customHeight="false" outlineLevel="0" collapsed="false">
      <c r="A20" s="4" t="s">
        <v>149</v>
      </c>
      <c r="B20" s="5" t="n">
        <v>150</v>
      </c>
    </row>
    <row r="21" customFormat="false" ht="15" hidden="false" customHeight="false" outlineLevel="0" collapsed="false">
      <c r="A21" s="10" t="s">
        <v>150</v>
      </c>
      <c r="B21" s="17" t="n">
        <f aca="false">B20*'Unit prices'!$B$20</f>
        <v>15000</v>
      </c>
    </row>
    <row r="22" customFormat="false" ht="15" hidden="false" customHeight="false" outlineLevel="0" collapsed="false">
      <c r="A22" s="10" t="s">
        <v>151</v>
      </c>
      <c r="B22" s="17" t="n">
        <f aca="false">B21/12</f>
        <v>1250</v>
      </c>
    </row>
    <row r="24" customFormat="false" ht="32.8" hidden="false" customHeight="false" outlineLevel="0" collapsed="false">
      <c r="A24" s="9" t="s">
        <v>152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26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7" t="s">
        <v>153</v>
      </c>
    </row>
    <row r="2" customFormat="false" ht="15" hidden="false" customHeight="false" outlineLevel="0" collapsed="false">
      <c r="A2" s="2" t="s">
        <v>154</v>
      </c>
    </row>
    <row r="4" customFormat="false" ht="15" hidden="false" customHeight="false" outlineLevel="0" collapsed="false">
      <c r="A4" s="3" t="s">
        <v>55</v>
      </c>
      <c r="B4" s="3" t="s">
        <v>3</v>
      </c>
      <c r="C4" s="3" t="s">
        <v>4</v>
      </c>
    </row>
    <row r="5" customFormat="false" ht="15" hidden="false" customHeight="false" outlineLevel="0" collapsed="false">
      <c r="A5" s="4" t="s">
        <v>155</v>
      </c>
      <c r="B5" s="5" t="n">
        <v>33000</v>
      </c>
      <c r="C5" s="4" t="s">
        <v>77</v>
      </c>
    </row>
    <row r="6" customFormat="false" ht="15" hidden="false" customHeight="false" outlineLevel="0" collapsed="false">
      <c r="A6" s="4" t="s">
        <v>156</v>
      </c>
      <c r="B6" s="5" t="n">
        <v>14000</v>
      </c>
      <c r="C6" s="4" t="s">
        <v>77</v>
      </c>
    </row>
    <row r="7" customFormat="false" ht="15" hidden="false" customHeight="false" outlineLevel="0" collapsed="false">
      <c r="A7" s="4" t="s">
        <v>157</v>
      </c>
      <c r="B7" s="5" t="n">
        <v>600</v>
      </c>
      <c r="C7" s="4" t="s">
        <v>73</v>
      </c>
    </row>
    <row r="8" customFormat="false" ht="15" hidden="false" customHeight="false" outlineLevel="0" collapsed="false">
      <c r="A8" s="4" t="s">
        <v>158</v>
      </c>
      <c r="B8" s="5" t="n">
        <v>0</v>
      </c>
      <c r="C8" s="4" t="s">
        <v>77</v>
      </c>
    </row>
    <row r="9" customFormat="false" ht="15" hidden="false" customHeight="false" outlineLevel="0" collapsed="false">
      <c r="A9" s="4" t="s">
        <v>159</v>
      </c>
      <c r="B9" s="5" t="n">
        <v>500</v>
      </c>
      <c r="C9" s="4" t="s">
        <v>64</v>
      </c>
    </row>
    <row r="10" customFormat="false" ht="15" hidden="false" customHeight="false" outlineLevel="0" collapsed="false">
      <c r="A10" s="4" t="s">
        <v>160</v>
      </c>
      <c r="B10" s="5" t="n">
        <v>5000</v>
      </c>
      <c r="C10" s="4" t="s">
        <v>77</v>
      </c>
    </row>
    <row r="11" customFormat="false" ht="15" hidden="false" customHeight="false" outlineLevel="0" collapsed="false">
      <c r="A11" s="4" t="s">
        <v>161</v>
      </c>
      <c r="B11" s="5" t="n">
        <v>0.12</v>
      </c>
      <c r="C11" s="4" t="s">
        <v>73</v>
      </c>
    </row>
    <row r="13" customFormat="false" ht="15" hidden="false" customHeight="false" outlineLevel="0" collapsed="false">
      <c r="A13" s="3" t="s">
        <v>74</v>
      </c>
      <c r="B13" s="3" t="s">
        <v>3</v>
      </c>
      <c r="C13" s="3" t="s">
        <v>4</v>
      </c>
    </row>
    <row r="14" customFormat="false" ht="15" hidden="false" customHeight="false" outlineLevel="0" collapsed="false">
      <c r="A14" s="10" t="s">
        <v>162</v>
      </c>
      <c r="B14" s="18" t="n">
        <f aca="false">MAX(0,(B5-B6)*B7)</f>
        <v>11400000</v>
      </c>
      <c r="C14" s="4" t="s">
        <v>163</v>
      </c>
    </row>
    <row r="15" customFormat="false" ht="15" hidden="false" customHeight="false" outlineLevel="0" collapsed="false">
      <c r="A15" s="10" t="s">
        <v>164</v>
      </c>
      <c r="B15" s="18" t="n">
        <f aca="false">B14*B9/1000000000</f>
        <v>5.7</v>
      </c>
      <c r="C15" s="4" t="s">
        <v>165</v>
      </c>
    </row>
    <row r="16" customFormat="false" ht="15" hidden="false" customHeight="false" outlineLevel="0" collapsed="false">
      <c r="A16" s="10" t="s">
        <v>166</v>
      </c>
      <c r="B16" s="18" t="n">
        <f aca="false">IF(B6&lt;=B8,"never: service does not exceed arrivals",B14/(B6-B8)/60)</f>
        <v>13.5714285714286</v>
      </c>
      <c r="C16" s="4" t="s">
        <v>167</v>
      </c>
    </row>
    <row r="17" customFormat="false" ht="15" hidden="false" customHeight="false" outlineLevel="0" collapsed="false">
      <c r="A17" s="10" t="s">
        <v>168</v>
      </c>
      <c r="B17" s="18" t="n">
        <f aca="false">IF(B6&lt;=B8,"never",B7/60+B16)</f>
        <v>23.5714285714286</v>
      </c>
      <c r="C17" s="4" t="s">
        <v>167</v>
      </c>
    </row>
    <row r="18" customFormat="false" ht="15" hidden="false" customHeight="false" outlineLevel="0" collapsed="false">
      <c r="A18" s="10" t="s">
        <v>169</v>
      </c>
      <c r="B18" s="18" t="n">
        <f aca="false">B10*B11</f>
        <v>600</v>
      </c>
      <c r="C18" s="4" t="s">
        <v>163</v>
      </c>
    </row>
    <row r="19" customFormat="false" ht="15" hidden="false" customHeight="false" outlineLevel="0" collapsed="false">
      <c r="A19" s="10" t="s">
        <v>170</v>
      </c>
      <c r="B19" s="18" t="n">
        <f aca="false">B10*B11</f>
        <v>600</v>
      </c>
      <c r="C19" s="4" t="s">
        <v>171</v>
      </c>
    </row>
    <row r="21" customFormat="false" ht="32.8" hidden="false" customHeight="false" outlineLevel="0" collapsed="false">
      <c r="A21" s="9" t="s">
        <v>172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2026-09-19T17:33:42Z</dcterms:created>
  <dc:creator>openpyxl</dc:creator>
  <dc:description/>
  <dc:language>en-US</dc:language>
  <cp:lastModifiedBy/>
  <dcterms:modified xsi:type="dcterms:W3CDTF">2026-09-19T17:33:42Z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