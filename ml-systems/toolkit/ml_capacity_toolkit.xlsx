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prices" sheetId="1" state="visible" r:id="rId1"/>
    <sheet xmlns:r="http://schemas.openxmlformats.org/officeDocument/2006/relationships" name="Fleet from a rate" sheetId="2" state="visible" r:id="rId2"/>
    <sheet xmlns:r="http://schemas.openxmlformats.org/officeDocument/2006/relationships" name="Generative serving" sheetId="3" state="visible" r:id="rId3"/>
    <sheet xmlns:r="http://schemas.openxmlformats.org/officeDocument/2006/relationships" name="Own vs rent" sheetId="4" state="visible" r:id="rId4"/>
    <sheet xmlns:r="http://schemas.openxmlformats.org/officeDocument/2006/relationships" name="Index and false matches" sheetId="5" state="visible" r:id="rId5"/>
    <sheet xmlns:r="http://schemas.openxmlformats.org/officeDocument/2006/relationships" name="Labels, logs, cad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.00"/>
    <numFmt numFmtId="166" formatCode="0.000"/>
    <numFmt numFmtId="167" formatCode="$#,##0"/>
    <numFmt numFmtId="168" formatCode="0.0E+00"/>
  </numFmts>
  <fonts count="7">
    <font>
      <name val="Calibri"/>
      <family val="2"/>
      <color theme="1"/>
      <sz val="11"/>
      <scheme val="minor"/>
    </font>
    <font>
      <name val="Arial"/>
      <b val="1"/>
      <color rgb="00002D5C"/>
      <sz val="14"/>
    </font>
    <font>
      <name val="Arial"/>
      <i val="1"/>
      <color rgb="00666666"/>
      <sz val="10"/>
    </font>
    <font>
      <name val="Arial"/>
      <b val="1"/>
      <color rgb="00002D5C"/>
      <sz val="11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0" pivotButton="0" quotePrefix="0" xfId="0"/>
    <xf numFmtId="3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2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167" fontId="6" fillId="0" borderId="0" pivotButton="0" quotePrefix="0" xfId="0"/>
    <xf numFmtId="0" fontId="6" fillId="0" borderId="0" pivotButton="0" quotePrefix="0" xfId="0"/>
    <xf numFmtId="168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24" customWidth="1" min="4" max="4"/>
    <col width="40" customWidth="1" min="5" max="5"/>
  </cols>
  <sheetData>
    <row r="1">
      <c r="A1" s="1" t="inlineStr">
        <is>
          <t>The Tradeoff Method for ML Systems: cost-and-capacity toolkit</t>
        </is>
      </c>
    </row>
    <row r="2">
      <c r="A2" s="2" t="inlineStr">
        <is>
          <t>Unit prices and per-accelerator capacities. Blue cells on yellow are inputs; edit them when prices move (checked September 2026). Every other tab reads from here. The book prints quantities and ratios only; this tab is where the money is.</t>
        </is>
      </c>
    </row>
    <row r="4">
      <c r="A4" s="3" t="inlineStr">
        <is>
          <t>Name</t>
        </is>
      </c>
      <c r="B4" s="3" t="inlineStr">
        <is>
          <t>Item</t>
        </is>
      </c>
      <c r="C4" s="3" t="inlineStr">
        <is>
          <t>Value</t>
        </is>
      </c>
      <c r="D4" s="3" t="inlineStr">
        <is>
          <t>Unit</t>
        </is>
      </c>
      <c r="E4" s="3" t="inlineStr">
        <is>
          <t>Source / note</t>
        </is>
      </c>
    </row>
    <row r="5">
      <c r="A5" s="4" t="inlineStr">
        <is>
          <t>CORE_H</t>
        </is>
      </c>
      <c r="B5" s="4" t="inlineStr">
        <is>
          <t>Core (vCPU)</t>
        </is>
      </c>
      <c r="C5" s="5" t="n">
        <v>0.04</v>
      </c>
      <c r="D5" s="4" t="inlineStr">
        <is>
          <t>$ per hour</t>
        </is>
      </c>
      <c r="E5" s="4" t="inlineStr">
        <is>
          <t>public list, Sept 2026</t>
        </is>
      </c>
    </row>
    <row r="6">
      <c r="A6" s="4" t="inlineStr">
        <is>
          <t>ACC_RENT_H</t>
        </is>
      </c>
      <c r="B6" s="4" t="inlineStr">
        <is>
          <t>Accelerator, rented</t>
        </is>
      </c>
      <c r="C6" s="5" t="n">
        <v>2.5</v>
      </c>
      <c r="D6" s="4" t="inlineStr">
        <is>
          <t>$ per hour</t>
        </is>
      </c>
      <c r="E6" s="4" t="inlineStr">
        <is>
          <t>mid-range data-centre accelerator, on demand</t>
        </is>
      </c>
    </row>
    <row r="7">
      <c r="A7" s="4" t="inlineStr">
        <is>
          <t>ACC_OWN_H</t>
        </is>
      </c>
      <c r="B7" s="4" t="inlineStr">
        <is>
          <t>Accelerator, owned, amortised at full use</t>
        </is>
      </c>
      <c r="C7" s="5" t="n">
        <v>0.9</v>
      </c>
      <c r="D7" s="4" t="inlineStr">
        <is>
          <t>$ per hour</t>
        </is>
      </c>
      <c r="E7" s="4" t="inlineStr">
        <is>
          <t>purchase + hosting over 3 years</t>
        </is>
      </c>
    </row>
    <row r="8">
      <c r="A8" s="4" t="inlineStr">
        <is>
          <t>ACC_RATIO</t>
        </is>
      </c>
      <c r="B8" s="4" t="inlineStr">
        <is>
          <t>Accelerator-hour to core-hour</t>
        </is>
      </c>
      <c r="C8" s="5" t="n">
        <v>30</v>
      </c>
      <c r="D8" s="4" t="inlineStr">
        <is>
          <t>ratio</t>
        </is>
      </c>
      <c r="E8" s="4" t="inlineStr">
        <is>
          <t>Appendix A.9: 20–60×</t>
        </is>
      </c>
    </row>
    <row r="9">
      <c r="A9" s="4" t="inlineStr">
        <is>
          <t>ACC_MEM</t>
        </is>
      </c>
      <c r="B9" s="4" t="inlineStr">
        <is>
          <t>Accelerator memory</t>
        </is>
      </c>
      <c r="C9" s="5" t="n">
        <v>80</v>
      </c>
      <c r="D9" s="4" t="inlineStr">
        <is>
          <t>GB</t>
        </is>
      </c>
      <c r="E9" s="4" t="inlineStr">
        <is>
          <t>Appendix A.3: 40–200</t>
        </is>
      </c>
    </row>
    <row r="10">
      <c r="A10" s="4" t="inlineStr">
        <is>
          <t>ACC_BW</t>
        </is>
      </c>
      <c r="B10" s="4" t="inlineStr">
        <is>
          <t>Accelerator memory bandwidth</t>
        </is>
      </c>
      <c r="C10" s="5" t="n">
        <v>2</v>
      </c>
      <c r="D10" s="4" t="inlineStr">
        <is>
          <t>TB/s</t>
        </is>
      </c>
      <c r="E10" s="4" t="inlineStr">
        <is>
          <t>Appendix A.3: 1.5–8</t>
        </is>
      </c>
    </row>
    <row r="11">
      <c r="A11" s="4" t="inlineStr">
        <is>
          <t>PREFILL</t>
        </is>
      </c>
      <c r="B11" s="4" t="inlineStr">
        <is>
          <t>Prefill throughput, mid-sized model</t>
        </is>
      </c>
      <c r="C11" s="5" t="n">
        <v>50000</v>
      </c>
      <c r="D11" s="4" t="inlineStr">
        <is>
          <t>tokens/s per accelerator</t>
        </is>
      </c>
      <c r="E11" s="4" t="inlineStr">
        <is>
          <t>Appendix A.3: 20k–100k</t>
        </is>
      </c>
    </row>
    <row r="12">
      <c r="A12" s="4" t="inlineStr">
        <is>
          <t>DECODE</t>
        </is>
      </c>
      <c r="B12" s="4" t="inlineStr">
        <is>
          <t>Decode throughput, mid-sized model, batched</t>
        </is>
      </c>
      <c r="C12" s="5" t="n">
        <v>5000</v>
      </c>
      <c r="D12" s="4" t="inlineStr">
        <is>
          <t>tokens/s per accelerator</t>
        </is>
      </c>
      <c r="E12" s="4" t="inlineStr">
        <is>
          <t>Appendix A.3: 2k–10k</t>
        </is>
      </c>
    </row>
    <row r="13">
      <c r="A13" s="4" t="inlineStr">
        <is>
          <t>KV</t>
        </is>
      </c>
      <c r="B13" s="4" t="inlineStr">
        <is>
          <t>Key–value state per token, mid-sized model</t>
        </is>
      </c>
      <c r="C13" s="5" t="n">
        <v>100000</v>
      </c>
      <c r="D13" s="4" t="inlineStr">
        <is>
          <t>bytes</t>
        </is>
      </c>
      <c r="E13" s="4" t="inlineStr">
        <is>
          <t>Appendix A.3: 50–200 KB</t>
        </is>
      </c>
    </row>
    <row r="14">
      <c r="A14" s="4" t="inlineStr">
        <is>
          <t>RANKER_CORE</t>
        </is>
      </c>
      <c r="B14" s="4" t="inlineStr">
        <is>
          <t>Small ranker, one item, on a core</t>
        </is>
      </c>
      <c r="C14" s="5" t="n">
        <v>30</v>
      </c>
      <c r="D14" s="4" t="inlineStr">
        <is>
          <t>µs</t>
        </is>
      </c>
      <c r="E14" s="4" t="inlineStr">
        <is>
          <t>Appendix A.2: 20–50</t>
        </is>
      </c>
    </row>
    <row r="15">
      <c r="A15" s="4" t="inlineStr">
        <is>
          <t>RANKER_ACC</t>
        </is>
      </c>
      <c r="B15" s="4" t="inlineStr">
        <is>
          <t>Small ranker, one item, batched on an accelerator</t>
        </is>
      </c>
      <c r="C15" s="5" t="n">
        <v>2</v>
      </c>
      <c r="D15" s="4" t="inlineStr">
        <is>
          <t>µs</t>
        </is>
      </c>
      <c r="E15" s="4" t="inlineStr">
        <is>
          <t>Appendix A.2: 1–2</t>
        </is>
      </c>
    </row>
    <row r="16">
      <c r="A16" s="4" t="inlineStr">
        <is>
          <t>EMB_ACC</t>
        </is>
      </c>
      <c r="B16" s="4" t="inlineStr">
        <is>
          <t>Text embedding, one passage, batched</t>
        </is>
      </c>
      <c r="C16" s="5" t="n">
        <v>0.5</v>
      </c>
      <c r="D16" s="4" t="inlineStr">
        <is>
          <t>ms</t>
        </is>
      </c>
      <c r="E16" s="4" t="inlineStr">
        <is>
          <t>Appendix A.2: 0.3–1</t>
        </is>
      </c>
    </row>
    <row r="17">
      <c r="A17" s="4" t="inlineStr">
        <is>
          <t>IMG_ACC</t>
        </is>
      </c>
      <c r="B17" s="4" t="inlineStr">
        <is>
          <t>Image classifier, one image, batched</t>
        </is>
      </c>
      <c r="C17" s="5" t="n">
        <v>2</v>
      </c>
      <c r="D17" s="4" t="inlineStr">
        <is>
          <t>ms</t>
        </is>
      </c>
      <c r="E17" s="4" t="inlineStr">
        <is>
          <t>Appendix A.2: 1–3</t>
        </is>
      </c>
    </row>
    <row r="18">
      <c r="A18" s="4" t="inlineStr">
        <is>
          <t>ANN</t>
        </is>
      </c>
      <c r="B18" s="4" t="inlineStr">
        <is>
          <t>Nearest-neighbour query over 100M vectors</t>
        </is>
      </c>
      <c r="C18" s="5" t="n">
        <v>2</v>
      </c>
      <c r="D18" s="4" t="inlineStr">
        <is>
          <t>ms</t>
        </is>
      </c>
      <c r="E18" s="4" t="inlineStr">
        <is>
          <t>Appendix A.1: 1–3</t>
        </is>
      </c>
    </row>
    <row r="19">
      <c r="A19" s="4" t="inlineStr">
        <is>
          <t>TOK_IN</t>
        </is>
      </c>
      <c r="B19" s="4" t="inlineStr">
        <is>
          <t>Input tokens, rented</t>
        </is>
      </c>
      <c r="C19" s="5" t="n">
        <v>0.5</v>
      </c>
      <c r="D19" s="4" t="inlineStr">
        <is>
          <t>$ per million</t>
        </is>
      </c>
      <c r="E19" s="4" t="inlineStr">
        <is>
          <t>hosted mid-sized model</t>
        </is>
      </c>
    </row>
    <row r="20">
      <c r="A20" s="4" t="inlineStr">
        <is>
          <t>TOK_IN_C</t>
        </is>
      </c>
      <c r="B20" s="4" t="inlineStr">
        <is>
          <t>Input tokens, cached prefix</t>
        </is>
      </c>
      <c r="C20" s="5" t="n">
        <v>0.1</v>
      </c>
      <c r="D20" s="4" t="inlineStr">
        <is>
          <t>$ per million</t>
        </is>
      </c>
      <c r="E20" s="4" t="inlineStr"/>
    </row>
    <row r="21">
      <c r="A21" s="4" t="inlineStr">
        <is>
          <t>TOK_OUT</t>
        </is>
      </c>
      <c r="B21" s="4" t="inlineStr">
        <is>
          <t>Output tokens, rented</t>
        </is>
      </c>
      <c r="C21" s="5" t="n">
        <v>2</v>
      </c>
      <c r="D21" s="4" t="inlineStr">
        <is>
          <t>$ per million</t>
        </is>
      </c>
      <c r="E21" s="4" t="inlineStr"/>
    </row>
    <row r="22">
      <c r="A22" s="4" t="inlineStr">
        <is>
          <t>OBJ</t>
        </is>
      </c>
      <c r="B22" s="4" t="inlineStr">
        <is>
          <t>Object storage</t>
        </is>
      </c>
      <c r="C22" s="5" t="n">
        <v>20</v>
      </c>
      <c r="D22" s="4" t="inlineStr">
        <is>
          <t>$ per TB-month</t>
        </is>
      </c>
      <c r="E22" s="4" t="inlineStr"/>
    </row>
    <row r="23">
      <c r="A23" s="4" t="inlineStr">
        <is>
          <t>MEM</t>
        </is>
      </c>
      <c r="B23" s="4" t="inlineStr">
        <is>
          <t>Memory in a serving node</t>
        </is>
      </c>
      <c r="C23" s="5" t="n">
        <v>8</v>
      </c>
      <c r="D23" s="4" t="inlineStr">
        <is>
          <t>$ per GB-month</t>
        </is>
      </c>
      <c r="E23" s="4" t="inlineStr"/>
    </row>
    <row r="24">
      <c r="A24" s="4" t="inlineStr">
        <is>
          <t>GRAPH_X</t>
        </is>
      </c>
      <c r="B24" s="4" t="inlineStr">
        <is>
          <t>Graph index memory, multiple of raw vectors</t>
        </is>
      </c>
      <c r="C24" s="5" t="n">
        <v>2.5</v>
      </c>
      <c r="D24" s="4" t="inlineStr">
        <is>
          <t>ratio</t>
        </is>
      </c>
      <c r="E24" s="4" t="inlineStr">
        <is>
          <t>Appendix A.5: 2–3×</t>
        </is>
      </c>
    </row>
    <row r="25">
      <c r="A25" s="4" t="inlineStr">
        <is>
          <t>CLUSTER_X</t>
        </is>
      </c>
      <c r="B25" s="4" t="inlineStr">
        <is>
          <t>Cluster index memory, multiple of raw vectors</t>
        </is>
      </c>
      <c r="C25" s="5" t="n">
        <v>1.1</v>
      </c>
      <c r="D25" s="4" t="inlineStr">
        <is>
          <t>ratio</t>
        </is>
      </c>
      <c r="E25" s="4" t="inlineStr">
        <is>
          <t>Appendix A.5: ~1.1×</t>
        </is>
      </c>
    </row>
    <row r="26">
      <c r="A26" s="4" t="inlineStr">
        <is>
          <t>JUDGE</t>
        </is>
      </c>
      <c r="B26" s="4" t="inlineStr">
        <is>
          <t>One human judgement</t>
        </is>
      </c>
      <c r="C26" s="5" t="n">
        <v>1</v>
      </c>
      <c r="D26" s="4" t="inlineStr">
        <is>
          <t>$</t>
        </is>
      </c>
      <c r="E26" s="4" t="inlineStr">
        <is>
          <t>Chapter 5: cents to dollars</t>
        </is>
      </c>
    </row>
    <row r="27">
      <c r="A27" s="4" t="inlineStr">
        <is>
          <t>REV_DAY</t>
        </is>
      </c>
      <c r="B27" s="4" t="inlineStr">
        <is>
          <t>Reviewer decisions per day</t>
        </is>
      </c>
      <c r="C27" s="5" t="n">
        <v>300</v>
      </c>
      <c r="D27" s="4" t="inlineStr">
        <is>
          <t>per person</t>
        </is>
      </c>
      <c r="E27" s="4" t="inlineStr">
        <is>
          <t>Chapter 12</t>
        </is>
      </c>
    </row>
    <row r="28">
      <c r="A28" s="4" t="inlineStr">
        <is>
          <t>REV_H</t>
        </is>
      </c>
      <c r="B28" s="4" t="inlineStr">
        <is>
          <t>Reviewer, loaded</t>
        </is>
      </c>
      <c r="C28" s="5" t="n">
        <v>30</v>
      </c>
      <c r="D28" s="4" t="inlineStr">
        <is>
          <t>$ per hour</t>
        </is>
      </c>
      <c r="E28" s="4" t="inlineStr">
        <is>
          <t>Chapter 13, Exercise 2</t>
        </is>
      </c>
    </row>
    <row r="29">
      <c r="A29" s="4" t="inlineStr">
        <is>
          <t>DAY_S</t>
        </is>
      </c>
      <c r="B29" s="4" t="inlineStr">
        <is>
          <t>Seconds in the book's day</t>
        </is>
      </c>
      <c r="C29" s="5" t="n">
        <v>100000</v>
      </c>
      <c r="D29" s="4" t="inlineStr">
        <is>
          <t>s</t>
        </is>
      </c>
      <c r="E29" s="4" t="inlineStr">
        <is>
          <t>10^5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3" customWidth="1" min="3" max="3"/>
    <col width="40" customWidth="1" min="4" max="4"/>
    <col width="14" customWidth="1" min="5" max="5"/>
  </cols>
  <sheetData>
    <row r="1">
      <c r="A1" s="1" t="inlineStr">
        <is>
          <t>Fleet from a rate (Chapters 4, 7)</t>
        </is>
      </c>
    </row>
    <row r="2">
      <c r="A2" s="2" t="inlineStr">
        <is>
          <t>Items scored per second × cost per item = core- or accelerator-seconds per second; divide by the target utilisation. Example: the recommender's ranker, 1,000 req/s × 2,000 candidates.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/>
      <c r="D4" s="3" t="inlineStr">
        <is>
          <t>Result</t>
        </is>
      </c>
      <c r="E4" s="3" t="inlineStr">
        <is>
          <t>Value</t>
        </is>
      </c>
    </row>
    <row r="5">
      <c r="A5" s="4" t="inlineStr">
        <is>
          <t>Requests per second at peak</t>
        </is>
      </c>
      <c r="B5" s="5" t="n">
        <v>1000</v>
      </c>
      <c r="D5" s="4" t="inlineStr">
        <is>
          <t>Items per second</t>
        </is>
      </c>
      <c r="E5" s="6">
        <f>B5*B6</f>
        <v/>
      </c>
    </row>
    <row r="6">
      <c r="A6" s="4" t="inlineStr">
        <is>
          <t>Items scored per request</t>
        </is>
      </c>
      <c r="B6" s="5" t="n">
        <v>2000</v>
      </c>
      <c r="D6" s="4" t="inlineStr">
        <is>
          <t>Core-seconds per second</t>
        </is>
      </c>
      <c r="E6" s="7">
        <f>E5*B7/1000000</f>
        <v/>
      </c>
    </row>
    <row r="7">
      <c r="A7" s="4" t="inlineStr">
        <is>
          <t>Cost per item on a core (µs)</t>
        </is>
      </c>
      <c r="B7" s="5" t="n">
        <v>30</v>
      </c>
      <c r="D7" s="4" t="inlineStr">
        <is>
          <t>Cores at utilisation</t>
        </is>
      </c>
      <c r="E7" s="6">
        <f>ROUNDUP(E6/B9,0)</f>
        <v/>
      </c>
    </row>
    <row r="8">
      <c r="A8" s="4" t="inlineStr">
        <is>
          <t>Cost per item batched on an accelerator (µs)</t>
        </is>
      </c>
      <c r="B8" s="5" t="n">
        <v>2</v>
      </c>
      <c r="D8" s="4" t="inlineStr">
        <is>
          <t>Accelerator-seconds per second</t>
        </is>
      </c>
      <c r="E8" s="7">
        <f>E5*B8/1000000</f>
        <v/>
      </c>
    </row>
    <row r="9">
      <c r="A9" s="4" t="inlineStr">
        <is>
          <t>Target utilisation</t>
        </is>
      </c>
      <c r="B9" s="5" t="n">
        <v>0.7</v>
      </c>
      <c r="D9" s="4" t="inlineStr">
        <is>
          <t>Accelerators at utilisation</t>
        </is>
      </c>
      <c r="E9" s="6">
        <f>ROUNDUP(E8/B9,0)</f>
        <v/>
      </c>
    </row>
    <row r="10">
      <c r="D10" s="4" t="inlineStr">
        <is>
          <t>Core-seconds per thousand requests</t>
        </is>
      </c>
      <c r="E10" s="7">
        <f>B6*B7/1000000*1000</f>
        <v/>
      </c>
    </row>
    <row r="11">
      <c r="D11" s="4" t="inlineStr">
        <is>
          <t>Cores, $ per hour at utilisation</t>
        </is>
      </c>
      <c r="E11" s="8">
        <f>E6/B9*'Unit prices'!$C$5</f>
        <v/>
      </c>
    </row>
    <row r="12">
      <c r="D12" s="4" t="inlineStr">
        <is>
          <t>Accelerators, $ per hour rented</t>
        </is>
      </c>
      <c r="E12" s="8">
        <f>E9*'Unit prices'!$C$6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" customWidth="1" min="3" max="3"/>
    <col width="44" customWidth="1" min="4" max="4"/>
    <col width="16" customWidth="1" min="5" max="5"/>
  </cols>
  <sheetData>
    <row r="1">
      <c r="A1" s="1" t="inlineStr">
        <is>
          <t>Generative serving (Chapters 8, 13)</t>
        </is>
      </c>
    </row>
    <row r="2">
      <c r="A2" s="2" t="inlineStr">
        <is>
          <t>Prefill is compute-bound; decode is memory-bound and the in-flight state caps the batch. Size the two pools separately and take the larger of decode-by-throughput and decode-by-memory. Example: the serving platform, 2,000 req/s.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/>
      <c r="D4" s="3" t="inlineStr">
        <is>
          <t>Result</t>
        </is>
      </c>
      <c r="E4" s="3" t="inlineStr">
        <is>
          <t>Value</t>
        </is>
      </c>
    </row>
    <row r="5">
      <c r="A5" s="4" t="inlineStr">
        <is>
          <t>Requests per second at peak</t>
        </is>
      </c>
      <c r="B5" s="5" t="n">
        <v>2000</v>
      </c>
      <c r="D5" s="4" t="inlineStr">
        <is>
          <t>Prefill tokens per second, no cache</t>
        </is>
      </c>
      <c r="E5" s="6">
        <f>B5*B6</f>
        <v/>
      </c>
    </row>
    <row r="6">
      <c r="A6" s="4" t="inlineStr">
        <is>
          <t>Input tokens per request</t>
        </is>
      </c>
      <c r="B6" s="5" t="n">
        <v>4000</v>
      </c>
      <c r="D6" s="4" t="inlineStr">
        <is>
          <t>Prefill accelerators, no cache</t>
        </is>
      </c>
      <c r="E6" s="6">
        <f>ROUNDUP(E5/'Unit prices'!$C$11,0)</f>
        <v/>
      </c>
    </row>
    <row r="7">
      <c r="A7" s="4" t="inlineStr">
        <is>
          <t>Cached shared-prefix tokens</t>
        </is>
      </c>
      <c r="B7" s="5" t="n">
        <v>3000</v>
      </c>
      <c r="D7" s="4" t="inlineStr">
        <is>
          <t>Prefill tokens per second, cached</t>
        </is>
      </c>
      <c r="E7" s="6">
        <f>B5*(B6-B7)</f>
        <v/>
      </c>
    </row>
    <row r="8">
      <c r="A8" s="4" t="inlineStr">
        <is>
          <t>Output tokens per request</t>
        </is>
      </c>
      <c r="B8" s="5" t="n">
        <v>300</v>
      </c>
      <c r="D8" s="4" t="inlineStr">
        <is>
          <t>Prefill accelerators, cached</t>
        </is>
      </c>
      <c r="E8" s="6">
        <f>ROUNDUP(E7/'Unit prices'!$C$11,0)</f>
        <v/>
      </c>
    </row>
    <row r="9">
      <c r="A9" s="4" t="inlineStr">
        <is>
          <t>Seconds a request stays in flight</t>
        </is>
      </c>
      <c r="B9" s="5" t="n">
        <v>6</v>
      </c>
      <c r="D9" s="4" t="inlineStr">
        <is>
          <t>Decode tokens per second</t>
        </is>
      </c>
      <c r="E9" s="6">
        <f>B5*B8</f>
        <v/>
      </c>
    </row>
    <row r="10">
      <c r="A10" s="4" t="inlineStr">
        <is>
          <t>Model parameters (billions)</t>
        </is>
      </c>
      <c r="B10" s="5" t="n">
        <v>10</v>
      </c>
      <c r="D10" s="4" t="inlineStr">
        <is>
          <t>Decode accelerators by throughput</t>
        </is>
      </c>
      <c r="E10" s="6">
        <f>ROUNDUP(E9/'Unit prices'!$C$12,0)</f>
        <v/>
      </c>
    </row>
    <row r="11">
      <c r="A11" s="4" t="inlineStr">
        <is>
          <t>Bytes per parameter (2 half, 1 8-bit)</t>
        </is>
      </c>
      <c r="B11" s="5" t="n">
        <v>2</v>
      </c>
      <c r="D11" s="4" t="inlineStr">
        <is>
          <t>Model bytes (GB)</t>
        </is>
      </c>
      <c r="E11" s="7">
        <f>B10*B11</f>
        <v/>
      </c>
    </row>
    <row r="12">
      <c r="D12" s="4" t="inlineStr">
        <is>
          <t>Free memory per accelerator (GB)</t>
        </is>
      </c>
      <c r="E12" s="7">
        <f>'Unit prices'!$C$9-E11</f>
        <v/>
      </c>
    </row>
    <row r="13">
      <c r="D13" s="4" t="inlineStr">
        <is>
          <t>KV state per request (GB)</t>
        </is>
      </c>
      <c r="E13" s="9">
        <f>(B6+B8)*'Unit prices'!$C$13/1000000000</f>
        <v/>
      </c>
    </row>
    <row r="14">
      <c r="D14" s="4" t="inlineStr">
        <is>
          <t>Sequences in flight per accelerator</t>
        </is>
      </c>
      <c r="E14" s="6">
        <f>INT(E12/E13)</f>
        <v/>
      </c>
    </row>
    <row r="15">
      <c r="D15" s="4" t="inlineStr">
        <is>
          <t>Sequences in flight across the pool</t>
        </is>
      </c>
      <c r="E15" s="6">
        <f>B5*B9</f>
        <v/>
      </c>
    </row>
    <row r="16">
      <c r="D16" s="4" t="inlineStr">
        <is>
          <t>Decode accelerators by memory</t>
        </is>
      </c>
      <c r="E16" s="6">
        <f>ROUNDUP(E15/E14,0)</f>
        <v/>
      </c>
    </row>
    <row r="17">
      <c r="D17" s="4" t="inlineStr">
        <is>
          <t>Decode pool (the larger)</t>
        </is>
      </c>
      <c r="E17" s="6">
        <f>MAX(E10,E16)</f>
        <v/>
      </c>
    </row>
    <row r="18">
      <c r="D18" s="4" t="inlineStr">
        <is>
          <t>Total at peak, cached prefix</t>
        </is>
      </c>
      <c r="E18" s="6">
        <f>E8+E17</f>
        <v/>
      </c>
    </row>
    <row r="19">
      <c r="D19" s="4" t="inlineStr">
        <is>
          <t>Single-sequence decode rate (tokens/s)</t>
        </is>
      </c>
      <c r="E19" s="6">
        <f>'Unit prices'!$C$10*1000000000000/(E11*1000000000)</f>
        <v/>
      </c>
    </row>
    <row r="20">
      <c r="D20" s="4" t="inlineStr">
        <is>
          <t>Accelerator-seconds per request</t>
        </is>
      </c>
      <c r="E20" s="10">
        <f>(B6-B7)/'Unit prices'!$C$11+B8/'Unit prices'!$C$12</f>
        <v/>
      </c>
    </row>
    <row r="21">
      <c r="D21" s="4" t="inlineStr">
        <is>
          <t>Rented $ per thousand requests</t>
        </is>
      </c>
      <c r="E21" s="8">
        <f>((B6-B7)*'Unit prices'!$C$19+B7*'Unit prices'!$C$20+B8*'Unit prices'!$C$21)/1000000*1000</f>
        <v/>
      </c>
    </row>
    <row r="22">
      <c r="D22" s="4" t="inlineStr">
        <is>
          <t>Output tokens' share of the rented bill</t>
        </is>
      </c>
      <c r="E22" s="11">
        <f>(B8*'Unit prices'!$C$21)/((B6-B7)*'Unit prices'!$C$19+B7*'Unit prices'!$C$20+B8*'Unit prices'!$C$21)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" customWidth="1" min="3" max="3"/>
    <col width="30" customWidth="1" min="4" max="4"/>
    <col width="16" customWidth="1" min="5" max="5"/>
  </cols>
  <sheetData>
    <row r="1">
      <c r="A1" s="1" t="inlineStr">
        <is>
          <t>Own against rent (Chapter 8)</t>
        </is>
      </c>
    </row>
    <row r="2">
      <c r="A2" s="2" t="inlineStr">
        <is>
          <t>Owning is priced for peak and paid whether used or not; renting is paid for what is used. The break-even is a utilisation. Examples: the support assistant (2 accelerators at 7%) and the platform (160 at 40–70%).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/>
      <c r="D4" s="3" t="inlineStr">
        <is>
          <t>Result</t>
        </is>
      </c>
      <c r="E4" s="3" t="inlineStr">
        <is>
          <t>Value</t>
        </is>
      </c>
    </row>
    <row r="5">
      <c r="A5" s="4" t="inlineStr">
        <is>
          <t>Accelerators at peak</t>
        </is>
      </c>
      <c r="B5" s="5" t="n">
        <v>160</v>
      </c>
      <c r="D5" s="4" t="inlineStr">
        <is>
          <t>Own, $ per year</t>
        </is>
      </c>
      <c r="E5" s="12">
        <f>B5*8760*'Unit prices'!$C$7</f>
        <v/>
      </c>
    </row>
    <row r="6">
      <c r="A6" s="4" t="inlineStr">
        <is>
          <t>Average utilisation over the day</t>
        </is>
      </c>
      <c r="B6" s="5" t="n">
        <v>0.4</v>
      </c>
      <c r="D6" s="4" t="inlineStr">
        <is>
          <t>Rent, $ per year</t>
        </is>
      </c>
      <c r="E6" s="12">
        <f>B5*B6*8760*'Unit prices'!$C$6</f>
        <v/>
      </c>
    </row>
    <row r="7">
      <c r="D7" s="4" t="inlineStr">
        <is>
          <t>Break-even utilisation</t>
        </is>
      </c>
      <c r="E7" s="11">
        <f>'Unit prices'!$C$7/'Unit prices'!$C$6</f>
        <v/>
      </c>
    </row>
    <row r="8">
      <c r="D8" s="4" t="inlineStr">
        <is>
          <t>Decision</t>
        </is>
      </c>
      <c r="E8" s="13">
        <f>IF(E5&lt;E6,"own","rent")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3" customWidth="1" min="3" max="3"/>
    <col width="40" customWidth="1" min="4" max="4"/>
    <col width="16" customWidth="1" min="5" max="5"/>
  </cols>
  <sheetData>
    <row r="1">
      <c r="A1" s="1" t="inlineStr">
        <is>
          <t>Vectors, indexes and the false-match budget (Chapters 7, 12)</t>
        </is>
      </c>
    </row>
    <row r="2">
      <c r="A2" s="2" t="inlineStr">
        <is>
          <t>Memory for N vectors at d dims and bytes per dim, under a graph or cluster index; and the per-pair false-match probability a threshold must deliver for a ceiling of wrongful matches a day, tested over K candidates. Example: near-duplicate search, 2B vectors.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/>
      <c r="D4" s="3" t="inlineStr">
        <is>
          <t>Result</t>
        </is>
      </c>
      <c r="E4" s="3" t="inlineStr">
        <is>
          <t>Value</t>
        </is>
      </c>
    </row>
    <row r="5">
      <c r="A5" s="4" t="inlineStr">
        <is>
          <t>Vectors</t>
        </is>
      </c>
      <c r="B5" s="5" t="n">
        <v>2000000000</v>
      </c>
      <c r="D5" s="4" t="inlineStr">
        <is>
          <t>Raw vectors (GB)</t>
        </is>
      </c>
      <c r="E5" s="6">
        <f>B5*B6*B7/1000000000</f>
        <v/>
      </c>
    </row>
    <row r="6">
      <c r="A6" s="4" t="inlineStr">
        <is>
          <t>Dimensions</t>
        </is>
      </c>
      <c r="B6" s="5" t="n">
        <v>128</v>
      </c>
      <c r="D6" s="4" t="inlineStr">
        <is>
          <t>Graph index (GB)</t>
        </is>
      </c>
      <c r="E6" s="6">
        <f>E5*'Unit prices'!$C$24</f>
        <v/>
      </c>
    </row>
    <row r="7">
      <c r="A7" s="4" t="inlineStr">
        <is>
          <t>Bytes per dimension (4 fp32, 1 int8, 0.25 for 32-byte codes at 128 dims)</t>
        </is>
      </c>
      <c r="B7" s="5" t="n">
        <v>0.25</v>
      </c>
      <c r="D7" s="4" t="inlineStr">
        <is>
          <t>Cluster index (GB)</t>
        </is>
      </c>
      <c r="E7" s="6">
        <f>E5*'Unit prices'!$C$25</f>
        <v/>
      </c>
    </row>
    <row r="8">
      <c r="A8" s="4" t="inlineStr">
        <is>
          <t>Uploads (queries) per day</t>
        </is>
      </c>
      <c r="B8" s="5" t="n">
        <v>5000000</v>
      </c>
      <c r="D8" s="4" t="inlineStr">
        <is>
          <t>Cluster index, $ per month in memory</t>
        </is>
      </c>
      <c r="E8" s="12">
        <f>E7*'Unit prices'!$C$23</f>
        <v/>
      </c>
    </row>
    <row r="9">
      <c r="A9" s="4" t="inlineStr">
        <is>
          <t>Candidates the threshold is applied to</t>
        </is>
      </c>
      <c r="B9" s="5" t="n">
        <v>20</v>
      </c>
      <c r="D9" s="4" t="inlineStr">
        <is>
          <t>Per-pair false-match probability required</t>
        </is>
      </c>
      <c r="E9" s="14">
        <f>B10/(B8*B9)</f>
        <v/>
      </c>
    </row>
    <row r="10">
      <c r="A10" s="4" t="inlineStr">
        <is>
          <t>Ceiling on wrongful matches per day</t>
        </is>
      </c>
      <c r="B10" s="5" t="n">
        <v>100</v>
      </c>
      <c r="D10" s="4" t="inlineStr">
        <is>
          <t>Same, if applied over every vector</t>
        </is>
      </c>
      <c r="E10" s="14">
        <f>B10/(B8*B5)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" customWidth="1" min="3" max="3"/>
    <col width="40" customWidth="1" min="4" max="4"/>
    <col width="16" customWidth="1" min="5" max="5"/>
  </cols>
  <sheetData>
    <row r="1">
      <c r="A1" s="1" t="inlineStr">
        <is>
          <t>Labels, logs and cadence (Chapters 5, 6, 9, 12)</t>
        </is>
      </c>
    </row>
    <row r="2">
      <c r="A2" s="2" t="inlineStr">
        <is>
          <t>The served-feature log sized from the label delay; a retrain cadence priced; a judged set sized from the difference to detect; a prevalence sample sized from the precision wanted.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/>
      <c r="D4" s="3" t="inlineStr">
        <is>
          <t>Result</t>
        </is>
      </c>
      <c r="E4" s="3" t="inlineStr">
        <is>
          <t>Value</t>
        </is>
      </c>
    </row>
    <row r="5">
      <c r="A5" s="4" t="inlineStr">
        <is>
          <t>Items served per second</t>
        </is>
      </c>
      <c r="B5" s="5" t="n">
        <v>10000</v>
      </c>
      <c r="D5" s="4" t="inlineStr">
        <is>
          <t>Log retention (days)</t>
        </is>
      </c>
      <c r="E5" s="6">
        <f>B7+B8</f>
        <v/>
      </c>
    </row>
    <row r="6">
      <c r="A6" s="4" t="inlineStr">
        <is>
          <t>Bytes per served-feature row</t>
        </is>
      </c>
      <c r="B6" s="5" t="n">
        <v>800</v>
      </c>
      <c r="D6" s="4" t="inlineStr">
        <is>
          <t>Log, GB per day</t>
        </is>
      </c>
      <c r="E6" s="6">
        <f>B5*'Unit prices'!$C$29*B6/1000000000</f>
        <v/>
      </c>
    </row>
    <row r="7">
      <c r="A7" s="4" t="inlineStr">
        <is>
          <t>Label delay (days)</t>
        </is>
      </c>
      <c r="B7" s="5" t="n">
        <v>90</v>
      </c>
      <c r="D7" s="4" t="inlineStr">
        <is>
          <t>Log, TB total</t>
        </is>
      </c>
      <c r="E7" s="6">
        <f>E6*E5/1000</f>
        <v/>
      </c>
    </row>
    <row r="8">
      <c r="A8" s="4" t="inlineStr">
        <is>
          <t>Training window (days)</t>
        </is>
      </c>
      <c r="B8" s="5" t="n">
        <v>90</v>
      </c>
      <c r="D8" s="4" t="inlineStr">
        <is>
          <t>Log, $ per month in object storage</t>
        </is>
      </c>
      <c r="E8" s="12">
        <f>E7*'Unit prices'!$C$22</f>
        <v/>
      </c>
    </row>
    <row r="9">
      <c r="A9" s="4" t="inlineStr">
        <is>
          <t>Retrain: hours per run</t>
        </is>
      </c>
      <c r="B9" s="5" t="n">
        <v>300</v>
      </c>
      <c r="D9" s="4" t="inlineStr">
        <is>
          <t>Retrain, $ per day</t>
        </is>
      </c>
      <c r="E9" s="12">
        <f>B9*B10*IF(B11=1,'Unit prices'!$C$6,'Unit prices'!$C$5)</f>
        <v/>
      </c>
    </row>
    <row r="10">
      <c r="A10" s="4" t="inlineStr">
        <is>
          <t>Retrain: runs per day</t>
        </is>
      </c>
      <c r="B10" s="5" t="n">
        <v>1</v>
      </c>
      <c r="D10" s="4" t="inlineStr">
        <is>
          <t>Retrain, $ per year</t>
        </is>
      </c>
      <c r="E10" s="12">
        <f>E9*365</f>
        <v/>
      </c>
    </row>
    <row r="11">
      <c r="A11" s="4" t="inlineStr">
        <is>
          <t>Retrain on accelerators? (1 yes, 0 no)</t>
        </is>
      </c>
      <c r="B11" s="5" t="n">
        <v>0</v>
      </c>
      <c r="D11" s="4" t="inlineStr">
        <is>
          <t>Judged set size n</t>
        </is>
      </c>
      <c r="E11" s="6">
        <f>ROUNDUP(4*B12*(1-B12)/B13^2,0)</f>
        <v/>
      </c>
    </row>
    <row r="12">
      <c r="A12" s="4" t="inlineStr">
        <is>
          <t>Judged set: rate being measured p</t>
        </is>
      </c>
      <c r="B12" s="5" t="n">
        <v>0.9</v>
      </c>
      <c r="D12" s="4" t="inlineStr">
        <is>
          <t>Judged set, $ at the human rate</t>
        </is>
      </c>
      <c r="E12" s="12">
        <f>E11*'Unit prices'!$C$26</f>
        <v/>
      </c>
    </row>
    <row r="13">
      <c r="A13" s="4" t="inlineStr">
        <is>
          <t>Judged set: difference to detect</t>
        </is>
      </c>
      <c r="B13" s="5" t="n">
        <v>0.02</v>
      </c>
      <c r="D13" s="4" t="inlineStr">
        <is>
          <t>Prevalence sample, views per week</t>
        </is>
      </c>
      <c r="E13" s="6">
        <f>ROUNDUP(1.96^2*(1-B14)/(B15^2*B14),0)</f>
        <v/>
      </c>
    </row>
    <row r="14">
      <c r="A14" s="4" t="inlineStr">
        <is>
          <t>Prevalence being measured</t>
        </is>
      </c>
      <c r="B14" s="5" t="n">
        <v>0.0005</v>
      </c>
      <c r="D14" s="4" t="inlineStr">
        <is>
          <t>Reviewers, full time</t>
        </is>
      </c>
      <c r="E14" s="7">
        <f>E13/7/'Unit prices'!$C$27</f>
        <v/>
      </c>
    </row>
    <row r="15">
      <c r="A15" s="4" t="inlineStr">
        <is>
          <t>Relative half-width wanted</t>
        </is>
      </c>
      <c r="B15" s="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2026-09-26T22:10:43Z</dcterms:created>
  <dcterms:modified xmlns:dcterms="http://purl.org/dc/terms/" xmlns:xsi="http://www.w3.org/2001/XMLSchema-instance" xsi:type="dcterms:W3CDTF">2026-09-26T22:10:43Z</dcterms:modified>
</cp:coreProperties>
</file>